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<sst xmlns="http://schemas.openxmlformats.org/spreadsheetml/2006/main" count="81" uniqueCount="41">
  <si>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</si>
  <si>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</si>
  <si>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</si>
  <si>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</si>
  <si>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</si>
  <si>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</si>
  <si>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</si>
  <si>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</si>
  <si>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</si>
  <si>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</si>
  <si>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</si>
  <si>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</si>
  <si>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</si>
  <si>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</si>
  <si>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</si>
  <si>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</si>
  <si>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</si>
  <si>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</si>
  <si>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</si>
  <si>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</si>
  <si>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</si>
  <si>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TH1&amp;2 </t>
  </si>
  <si>
    <t xml:space="preserve"> 5OG IBN Feldgeräte EnOcean &amp; Modbus &amp; SMI</t>
  </si>
  <si>
    <t xml:space="preserve">TH1</t>
  </si>
  <si>
    <t xml:space="preserve"> 5OG Mängelbeseitigung und Schaltschrank – Revision</t>
  </si>
  <si>
    <t xml:space="preserve"> 4OG Bacnet Linzenz Controller eingesetzt &amp; IBN</t>
  </si>
  <si>
    <t xml:space="preserve"> 5OG DALI &amp; Beleuchtungzonen Testlauf</t>
  </si>
  <si>
    <t xml:space="preserve">TH2</t>
  </si>
  <si>
    <t xml:space="preserve"> 3OG VSR MP-Kalibrierung &amp; LogData Dokumentation V-nom</t>
  </si>
  <si>
    <t xml:space="preserve">TH3&amp;4</t>
  </si>
  <si>
    <t xml:space="preserve"> 4OG SMI und Jalousie Testlauf und Fehlersuche</t>
  </si>
  <si>
    <t xml:space="preserve"> 4OG Kalibrierung EnOcean Sensorik</t>
  </si>
  <si>
    <t xml:space="preserve"> 5OG Schaltschrank Mängelbeseitigung</t>
  </si>
  <si>
    <t xml:space="preserve"> 5OG SMI &amp; Jalousie Test und Dokumentation</t>
  </si>
  <si>
    <t xml:space="preserve">TH1 </t>
  </si>
  <si>
    <t xml:space="preserve"> 6OG Kabelzug VSR Zuluft und Schaltschrank korrektur</t>
  </si>
  <si>
    <t xml:space="preserve"> 2OG MP-Bus Linie ergänzt und Programmiert + Schalts. Revi </t>
  </si>
  <si>
    <t xml:space="preserve"> 3OG MP-Bus Linie ergänzt und Programmiert + Schalts. Revi </t>
  </si>
  <si>
    <t xml:space="preserve">TH2 </t>
  </si>
  <si>
    <t xml:space="preserve"> 4OG DALI Testlauf und Reparatur DALI Präsenzmelder</t>
  </si>
  <si>
    <t xml:space="preserve"> 4OG Dokumentation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</si>
</sst>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B2" colorId="64" zoomScale="149" zoomScaleNormal="100" zoomScalePageLayoutView="149" workbookViewId="0">
      <selection pane="topLeft" activeCell="H38" activeCellId="0" sqref="H38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38.5</v>
      </c>
      <c r="I2" s="11" t="s">
        <v>3</v>
      </c>
      <c r="J2" s="12" t="s">
        <v>4</v>
      </c>
      <c r="K2" s="13" t="n">
        <v>11</v>
      </c>
      <c r="L2" s="14" t="n">
        <v>45726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40</v>
      </c>
      <c r="H8" s="27" t="n">
        <f aca="false">I21+I31+I41+I51+I60+I67</f>
        <v>38.5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-1.5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10.03.2025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8</v>
      </c>
      <c r="I21" s="47" t="n">
        <f aca="false">SUM(H13:H19)</f>
        <v>0</v>
      </c>
      <c r="J21" s="46" t="n">
        <f aca="false">I21-H21</f>
        <v>-8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50" t="s">
        <v>21</v>
      </c>
      <c r="B24" s="51" t="s">
        <v>22</v>
      </c>
      <c r="C24" s="51"/>
      <c r="D24" s="51"/>
      <c r="E24" s="51"/>
      <c r="F24" s="51"/>
      <c r="G24" s="51"/>
      <c r="H24" s="52" t="n">
        <v>4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23</v>
      </c>
      <c r="B25" s="51" t="s">
        <v>24</v>
      </c>
      <c r="C25" s="51"/>
      <c r="D25" s="51"/>
      <c r="E25" s="51"/>
      <c r="F25" s="51"/>
      <c r="G25" s="51"/>
      <c r="H25" s="52" t="n">
        <v>4</v>
      </c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23</v>
      </c>
      <c r="B26" s="51" t="s">
        <v>25</v>
      </c>
      <c r="C26" s="51"/>
      <c r="D26" s="51"/>
      <c r="E26" s="51"/>
      <c r="F26" s="51"/>
      <c r="G26" s="51"/>
      <c r="H26" s="52" t="n">
        <v>2</v>
      </c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33" t="s">
        <v>23</v>
      </c>
      <c r="B27" s="51" t="s">
        <v>26</v>
      </c>
      <c r="C27" s="51"/>
      <c r="D27" s="51"/>
      <c r="E27" s="51"/>
      <c r="F27" s="51"/>
      <c r="G27" s="51"/>
      <c r="H27" s="35" t="n">
        <v>3</v>
      </c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 t="s">
        <v>27</v>
      </c>
      <c r="B28" s="51" t="s">
        <v>26</v>
      </c>
      <c r="C28" s="51"/>
      <c r="D28" s="51"/>
      <c r="E28" s="51"/>
      <c r="F28" s="51"/>
      <c r="G28" s="51"/>
      <c r="H28" s="35" t="n">
        <v>3</v>
      </c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11.03.2025</v>
      </c>
      <c r="B30" s="39" t="s">
        <v>15</v>
      </c>
      <c r="C30" s="40" t="n">
        <v>0.260416666666667</v>
      </c>
      <c r="D30" s="41" t="s">
        <v>16</v>
      </c>
      <c r="E30" s="40" t="n">
        <v>1.01041666666667</v>
      </c>
      <c r="F30" s="54" t="n">
        <f aca="false">(MOD(E30-C30,1)*24)</f>
        <v>18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16</v>
      </c>
      <c r="J31" s="55" t="n">
        <f aca="false">I31-H31</f>
        <v>8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50" t="s">
        <v>21</v>
      </c>
      <c r="B34" s="51" t="s">
        <v>28</v>
      </c>
      <c r="C34" s="51"/>
      <c r="D34" s="51"/>
      <c r="E34" s="51"/>
      <c r="F34" s="51"/>
      <c r="G34" s="51"/>
      <c r="H34" s="35" t="n">
        <v>2</v>
      </c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29</v>
      </c>
      <c r="B35" s="51" t="s">
        <v>30</v>
      </c>
      <c r="C35" s="51"/>
      <c r="D35" s="51"/>
      <c r="E35" s="51"/>
      <c r="F35" s="51"/>
      <c r="G35" s="51"/>
      <c r="H35" s="35" t="n">
        <v>2</v>
      </c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21</v>
      </c>
      <c r="B36" s="51" t="s">
        <v>31</v>
      </c>
      <c r="C36" s="51"/>
      <c r="D36" s="51"/>
      <c r="E36" s="51"/>
      <c r="F36" s="51"/>
      <c r="G36" s="51"/>
      <c r="H36" s="35" t="n">
        <v>2</v>
      </c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33" t="s">
        <v>23</v>
      </c>
      <c r="B37" s="53" t="s">
        <v>32</v>
      </c>
      <c r="C37" s="53"/>
      <c r="D37" s="53"/>
      <c r="E37" s="53"/>
      <c r="F37" s="53"/>
      <c r="G37" s="53"/>
      <c r="H37" s="35" t="n">
        <v>2</v>
      </c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 t="s">
        <v>23</v>
      </c>
      <c r="B38" s="57" t="s">
        <v>33</v>
      </c>
      <c r="C38" s="57"/>
      <c r="D38" s="57"/>
      <c r="E38" s="57"/>
      <c r="F38" s="57"/>
      <c r="G38" s="57"/>
      <c r="H38" s="35" t="n">
        <v>1</v>
      </c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/>
      <c r="B39" s="51"/>
      <c r="C39" s="51"/>
      <c r="D39" s="51"/>
      <c r="E39" s="51"/>
      <c r="F39" s="51"/>
      <c r="G39" s="51"/>
      <c r="H39" s="35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12.03.2025</v>
      </c>
      <c r="B40" s="39" t="s">
        <v>15</v>
      </c>
      <c r="C40" s="40" t="n">
        <v>0.416666666666667</v>
      </c>
      <c r="D40" s="41" t="s">
        <v>16</v>
      </c>
      <c r="E40" s="40" t="n">
        <v>0.854166666666667</v>
      </c>
      <c r="F40" s="54" t="n">
        <f aca="false">(MOD(E40-C40,1)*24)</f>
        <v>10.5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8" t="n">
        <v>8</v>
      </c>
      <c r="I41" s="56" t="n">
        <f aca="false">SUM(H33:I39)</f>
        <v>9</v>
      </c>
      <c r="J41" s="55" t="n">
        <f aca="false">I41-H41</f>
        <v>1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34</v>
      </c>
      <c r="B44" s="57" t="s">
        <v>35</v>
      </c>
      <c r="C44" s="57"/>
      <c r="D44" s="57"/>
      <c r="E44" s="57"/>
      <c r="F44" s="57"/>
      <c r="G44" s="57"/>
      <c r="H44" s="35" t="n">
        <v>1</v>
      </c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34</v>
      </c>
      <c r="B45" s="57" t="s">
        <v>36</v>
      </c>
      <c r="C45" s="57"/>
      <c r="D45" s="57"/>
      <c r="E45" s="57"/>
      <c r="F45" s="57"/>
      <c r="G45" s="57"/>
      <c r="H45" s="35" t="n">
        <v>2</v>
      </c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 t="s">
        <v>34</v>
      </c>
      <c r="B46" s="57" t="s">
        <v>37</v>
      </c>
      <c r="C46" s="57"/>
      <c r="D46" s="57"/>
      <c r="E46" s="57"/>
      <c r="F46" s="57"/>
      <c r="G46" s="57"/>
      <c r="H46" s="35" t="n">
        <v>2</v>
      </c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 t="s">
        <v>38</v>
      </c>
      <c r="B47" s="57" t="s">
        <v>37</v>
      </c>
      <c r="C47" s="57"/>
      <c r="D47" s="57"/>
      <c r="E47" s="57"/>
      <c r="F47" s="57"/>
      <c r="G47" s="57"/>
      <c r="H47" s="35" t="n">
        <v>2</v>
      </c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50"/>
      <c r="B48" s="57"/>
      <c r="C48" s="57"/>
      <c r="D48" s="57"/>
      <c r="E48" s="57"/>
      <c r="F48" s="57"/>
      <c r="G48" s="57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34"/>
      <c r="C49" s="34"/>
      <c r="D49" s="34"/>
      <c r="E49" s="34"/>
      <c r="F49" s="34"/>
      <c r="G49" s="34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13.03.2025</v>
      </c>
      <c r="B50" s="39" t="s">
        <v>15</v>
      </c>
      <c r="C50" s="40" t="n">
        <v>0.375</v>
      </c>
      <c r="D50" s="41" t="s">
        <v>16</v>
      </c>
      <c r="E50" s="40" t="n">
        <v>0.875</v>
      </c>
      <c r="F50" s="54" t="n">
        <f aca="false">(MOD(E50-C50,1)*24)</f>
        <v>12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7</v>
      </c>
      <c r="J51" s="55" t="n">
        <f aca="false">I51-H51</f>
        <v>-1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50"/>
      <c r="B53" s="51" t="s">
        <v>20</v>
      </c>
      <c r="C53" s="51"/>
      <c r="D53" s="51"/>
      <c r="E53" s="51"/>
      <c r="F53" s="51"/>
      <c r="G53" s="51"/>
      <c r="H53" s="52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 t="s">
        <v>23</v>
      </c>
      <c r="B54" s="34" t="s">
        <v>39</v>
      </c>
      <c r="C54" s="34"/>
      <c r="D54" s="34"/>
      <c r="E54" s="34"/>
      <c r="F54" s="34"/>
      <c r="G54" s="34"/>
      <c r="H54" s="52" t="n">
        <v>6</v>
      </c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23</v>
      </c>
      <c r="B55" s="34" t="s">
        <v>40</v>
      </c>
      <c r="C55" s="34"/>
      <c r="D55" s="34"/>
      <c r="E55" s="34"/>
      <c r="F55" s="34"/>
      <c r="G55" s="34"/>
      <c r="H55" s="52" t="n">
        <v>0.5</v>
      </c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/>
      <c r="B56" s="34"/>
      <c r="C56" s="34"/>
      <c r="D56" s="34"/>
      <c r="E56" s="34"/>
      <c r="F56" s="34"/>
      <c r="G56" s="34"/>
      <c r="H56" s="35"/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50"/>
      <c r="B57" s="51"/>
      <c r="C57" s="51"/>
      <c r="D57" s="51"/>
      <c r="E57" s="51"/>
      <c r="F57" s="51"/>
      <c r="G57" s="51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 t="n">
        <v>300</v>
      </c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14.03.2025</v>
      </c>
      <c r="B59" s="39" t="s">
        <v>15</v>
      </c>
      <c r="C59" s="40" t="n">
        <v>0.333333333333333</v>
      </c>
      <c r="D59" s="41" t="s">
        <v>16</v>
      </c>
      <c r="E59" s="40" t="n">
        <v>0.604166666666667</v>
      </c>
      <c r="F59" s="54" t="n">
        <f aca="false">(MOD(E59-C59,1)*24)</f>
        <v>6.5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6.5</v>
      </c>
      <c r="J60" s="55" t="n">
        <f aca="false">I60-H60</f>
        <v>-1.5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/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15.03.2025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16.03.2025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49"/>
      <c r="C73" s="49"/>
      <c r="D73" s="49"/>
      <c r="E73" s="49"/>
      <c r="F73" s="49"/>
      <c r="G73" s="49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49"/>
      <c r="C74" s="49"/>
      <c r="D74" s="49"/>
      <c r="E74" s="49"/>
      <c r="F74" s="49"/>
      <c r="G74" s="49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49"/>
      <c r="C75" s="49"/>
      <c r="D75" s="49"/>
      <c r="E75" s="49"/>
      <c r="F75" s="49"/>
      <c r="G75" s="49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49"/>
      <c r="C76" s="49"/>
      <c r="D76" s="49"/>
      <c r="E76" s="49"/>
      <c r="F76" s="49"/>
      <c r="G76" s="49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49"/>
      <c r="C77" s="49"/>
      <c r="D77" s="49"/>
      <c r="E77" s="49"/>
      <c r="F77" s="49"/>
      <c r="G77" s="49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49"/>
      <c r="C78" s="49"/>
      <c r="D78" s="49"/>
      <c r="E78" s="49"/>
      <c r="F78" s="49"/>
      <c r="G78" s="49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49"/>
      <c r="C79" s="49"/>
      <c r="D79" s="49"/>
      <c r="E79" s="49"/>
      <c r="F79" s="49"/>
      <c r="G79" s="49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49"/>
      <c r="C80" s="49"/>
      <c r="D80" s="49"/>
      <c r="E80" s="49"/>
      <c r="F80" s="49"/>
      <c r="G80" s="49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49"/>
      <c r="C81" s="49"/>
      <c r="D81" s="49"/>
      <c r="E81" s="49"/>
      <c r="F81" s="49"/>
      <c r="G81" s="49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49"/>
      <c r="C82" s="49"/>
      <c r="D82" s="49"/>
      <c r="E82" s="49"/>
      <c r="F82" s="49"/>
      <c r="G82" s="49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49"/>
      <c r="C83" s="49"/>
      <c r="D83" s="49"/>
      <c r="E83" s="49"/>
      <c r="F83" s="49"/>
      <c r="G83" s="49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49"/>
      <c r="C84" s="49"/>
      <c r="D84" s="49"/>
      <c r="E84" s="49"/>
      <c r="F84" s="49"/>
      <c r="G84" s="49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06">
    <mergeCell ref="A1:E1"/>
    <mergeCell ref="D2:F3"/>
    <mergeCell ref="H2:H3"/>
    <mergeCell ref="I2:I3"/>
    <mergeCell ref="J2:J3"/>
    <mergeCell ref="K2:K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6126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2025-02-27T20:27:02Z</cp:lastPrinted>
  <dcterms:modified xsi:type="dcterms:W3CDTF">2025-11-27T10:08:48Z</dcterms:modified>
  <cp:revision>206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