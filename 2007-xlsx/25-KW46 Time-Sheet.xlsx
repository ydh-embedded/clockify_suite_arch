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W" sheetId="1" state="visible" r:id="rId3"/>
  </sheets>
  <definedNames>
    <definedName function="false" hidden="false" localSheetId="0" name="_xlnm.Print_Area" vbProcedure="false">KW!$A$1:$K$67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<sst xmlns="http://schemas.openxmlformats.org/spreadsheetml/2006/main" count="85" uniqueCount="49">
  <si>
    <t xml:space="preserve">      yDh-embedded Inh. Danny Heinicke</t>
  </si>
  <si>
    <t xml:space="preserve">Montags-Datum eintragen</t>
  </si>
  <si>
    <t xml:space="preserve">Time-Sheet</t>
  </si>
  <si>
    <t xml:space="preserve"> h   in</t>
  </si>
  <si>
    <t xml:space="preserve">KW</t>
  </si>
  <si>
    <t xml:space="preserve">Arbeitszeit in Stunden</t>
  </si>
  <si>
    <t xml:space="preserve">Projekt</t>
  </si>
  <si>
    <t xml:space="preserve">Soll</t>
  </si>
  <si>
    <t xml:space="preserve">Ist</t>
  </si>
  <si>
    <t xml:space="preserve">km</t>
  </si>
  <si>
    <t xml:space="preserve">Differenz</t>
  </si>
  <si>
    <t xml:space="preserve">signed</t>
  </si>
  <si>
    <t xml:space="preserve">NEO - Schönhauser Allee 9</t>
  </si>
  <si>
    <t xml:space="preserve"> ausgeführte Tätigkeiten</t>
  </si>
  <si>
    <t xml:space="preserve">Anreise</t>
  </si>
  <si>
    <t xml:space="preserve">Start</t>
  </si>
  <si>
    <t xml:space="preserve">End</t>
  </si>
  <si>
    <t xml:space="preserve">  Soll</t>
  </si>
  <si>
    <t xml:space="preserve">  Ist</t>
  </si>
  <si>
    <t xml:space="preserve">  Differenz</t>
  </si>
  <si>
    <t xml:space="preserve"> Einzelraumregelung</t>
  </si>
  <si>
    <t xml:space="preserve">TH3</t>
  </si>
  <si>
    <t xml:space="preserve"> 2OG Volumenstrom Anpassung und Testlauf Meeting-Raum</t>
  </si>
  <si>
    <t xml:space="preserve">TH3,4</t>
  </si>
  <si>
    <t xml:space="preserve"> 2OG Touch-Panel zurück gesetzt</t>
  </si>
  <si>
    <t xml:space="preserve">TH1,2</t>
  </si>
  <si>
    <t xml:space="preserve"> 5OG EnOcean Antennen montiert und FK PtP :: Thermokon ::</t>
  </si>
  <si>
    <t xml:space="preserve"> 5OG AdHoc Heizzone aktiviert</t>
  </si>
  <si>
    <t xml:space="preserve">TH1,2,3,4</t>
  </si>
  <si>
    <t xml:space="preserve"> OGs Referenz-Messung mit Sachverständigen &amp;&amp; Doku</t>
  </si>
  <si>
    <t xml:space="preserve"> OG1 DALI Störbeseitigung</t>
  </si>
  <si>
    <t xml:space="preserve"> OGs Fehlerfeststellung EnOcean CO²-Sensorik :: Thermokon ::</t>
  </si>
  <si>
    <t xml:space="preserve">TH1</t>
  </si>
  <si>
    <t xml:space="preserve"> 4OG EnOcean Fehlerbeseitigung :: Thermokon ::</t>
  </si>
  <si>
    <t xml:space="preserve">TH4</t>
  </si>
  <si>
    <t xml:space="preserve"> 2OG EnOcean Fehlerbeseitigung :: Thermokon ::</t>
  </si>
  <si>
    <t xml:space="preserve"> OGs Erstellung Scrum Commits EnOcean</t>
  </si>
  <si>
    <t xml:space="preserve"> UG1 forto Fehlerbeseitigung Raumtemp.-Sensoren</t>
  </si>
  <si>
    <t xml:space="preserve"> 5OG Schaltschrank Mängelbeseitigung</t>
  </si>
  <si>
    <t xml:space="preserve"> 5OG SMI &amp; Jalousie Test und Dokumentation</t>
  </si>
  <si>
    <t xml:space="preserve"> 5OG Kalibrierung EnOcean Sensorik &amp; dokumentation</t>
  </si>
  <si>
    <t xml:space="preserve"> 5OG VSR MP-Kalibrierung &amp; LogData Dokumentation V-nom</t>
  </si>
  <si>
    <t xml:space="preserve"> 5OG Kabelsuche</t>
  </si>
  <si>
    <t xml:space="preserve"> 5OG Kalibrierung EnOcean Sensorik</t>
  </si>
  <si>
    <t xml:space="preserve"> 6OG Kalibrierung EnOcean Sensorik</t>
  </si>
  <si>
    <t xml:space="preserve"> 1UG Arbeitsplanung &amp; Erstellung Dokumentation</t>
  </si>
  <si>
    <t xml:space="preserve"> Schlüssel und Zugänge organisiert</t>
  </si>
  <si>
    <t xml:space="preserve"> Sharepoint und Logins organisiert</t>
  </si>
  <si>
    <t xml:space="preserve"> Android APK getestet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</si>
</sst>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d/mm/yyyy"/>
    <numFmt numFmtId="167" formatCode="@"/>
    <numFmt numFmtId="168" formatCode="dd/mm/yy"/>
    <numFmt numFmtId="169" formatCode="h:mm;@"/>
  </numFmts>
  <fonts count="3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Arial"/>
      <family val="2"/>
    </font>
    <font>
      <b val="true"/>
      <sz val="22"/>
      <color rgb="FF000000"/>
      <name val="Arial"/>
      <family val="2"/>
    </font>
    <font>
      <sz val="10"/>
      <color rgb="FF000000"/>
      <name val="Arial"/>
      <family val="2"/>
    </font>
    <font>
      <b val="true"/>
      <sz val="13"/>
      <color rgb="FF000000"/>
      <name val="Arial"/>
      <family val="2"/>
    </font>
    <font>
      <b val="true"/>
      <sz val="20"/>
      <color rgb="FF000000"/>
      <name val="Arial"/>
      <family val="2"/>
    </font>
    <font>
      <sz val="20"/>
      <name val="Arial"/>
      <family val="0"/>
    </font>
    <font>
      <b val="true"/>
      <sz val="10"/>
      <color rgb="FFFFFFFF"/>
      <name val="Arial"/>
      <family val="0"/>
    </font>
    <font>
      <b val="true"/>
      <sz val="20"/>
      <color rgb="FFFFFFFF"/>
      <name val="Arial"/>
      <family val="0"/>
    </font>
    <font>
      <b val="true"/>
      <sz val="10"/>
      <name val="Arial"/>
      <family val="2"/>
    </font>
    <font>
      <b val="true"/>
      <i val="true"/>
      <sz val="11"/>
      <color rgb="FF808080"/>
      <name val="Arial"/>
      <family val="0"/>
    </font>
    <font>
      <i val="true"/>
      <sz val="10"/>
      <color rgb="FF808080"/>
      <name val="Arial"/>
      <family val="0"/>
    </font>
    <font>
      <sz val="13"/>
      <color rgb="FFFFFFFF"/>
      <name val="Arial"/>
      <family val="2"/>
    </font>
    <font>
      <sz val="13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5"/>
      <color rgb="FF000000"/>
      <name val="Noto Sans Mono"/>
      <family val="2"/>
    </font>
    <font>
      <sz val="10"/>
      <color rgb="FF333333"/>
      <name val="Arial"/>
      <family val="0"/>
    </font>
    <font>
      <sz val="11"/>
      <color rgb="FF333333"/>
      <name val="Arial"/>
      <family val="0"/>
    </font>
    <font>
      <b val="true"/>
      <sz val="11"/>
      <color rgb="FF333333"/>
      <name val="Arial"/>
      <family val="0"/>
    </font>
    <font>
      <sz val="10"/>
      <color rgb="FFFF0000"/>
      <name val="Arial"/>
      <family val="2"/>
    </font>
    <font>
      <b val="true"/>
      <sz val="13"/>
      <color rgb="FF000000"/>
      <name val="Noto Sans Mono"/>
      <family val="2"/>
    </font>
    <font>
      <sz val="10"/>
      <color rgb="FF333333"/>
      <name val="Noto Sans Mono"/>
      <family val="2"/>
    </font>
    <font>
      <sz val="12"/>
      <color rgb="FF333333"/>
      <name val="Noto Sans Mono"/>
      <family val="2"/>
    </font>
    <font>
      <sz val="12"/>
      <color rgb="FF000000"/>
      <name val="Arial"/>
      <family val="2"/>
    </font>
    <font>
      <sz val="8"/>
      <color rgb="FF333333"/>
      <name val="Noto Sans Mono"/>
      <family val="2"/>
    </font>
    <font>
      <b val="true"/>
      <sz val="11"/>
      <color rgb="FFFFFFFF"/>
      <name val="Noto Sans Mono"/>
      <family val="2"/>
    </font>
    <font>
      <b val="true"/>
      <sz val="13"/>
      <color rgb="FFFFFFFF"/>
      <name val="Noto Sans Mono"/>
      <family val="2"/>
    </font>
    <font>
      <b val="true"/>
      <sz val="7"/>
      <color rgb="FFFFFFFF"/>
      <name val="Noto Sans Mono"/>
      <family val="2"/>
    </font>
    <font>
      <b val="true"/>
      <sz val="8"/>
      <color rgb="FFFFFFFF"/>
      <name val="Noto Sans Mono"/>
      <family val="2"/>
    </font>
    <font>
      <b val="true"/>
      <sz val="8"/>
      <color rgb="FF000000"/>
      <name val="Noto Sans Mono"/>
      <family val="2"/>
    </font>
    <font>
      <b val="true"/>
      <sz val="11"/>
      <color rgb="FF000000"/>
      <name val="Noto Sans Mono"/>
      <family val="2"/>
    </font>
    <font>
      <sz val="10"/>
      <name val="Noto Sans Mono"/>
      <family val="2"/>
    </font>
    <font>
      <sz val="10"/>
      <name val="Noto Sa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1" applyFont="true" applyBorder="tru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4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" xfId="20"/>
    <cellStyle name="Footnote" xfId="21"/>
    <cellStyle name="Not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91080</xdr:colOff>
      <xdr:row>1</xdr:row>
      <xdr:rowOff>149760</xdr:rowOff>
    </xdr:from>
    <xdr:to>
      <xdr:col>0</xdr:col>
      <xdr:colOff>1554840</xdr:colOff>
      <xdr:row>7</xdr:row>
      <xdr:rowOff>125280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91080" y="489960"/>
          <a:ext cx="1463760" cy="168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"/>
  <sheetViews>
    <sheetView showFormulas="false" showGridLines="true" showRowColHeaders="true" showZeros="true" rightToLeft="false" tabSelected="true" showOutlineSymbols="true" defaultGridColor="true" view="pageBreakPreview" topLeftCell="A22" colorId="64" zoomScale="128" zoomScaleNormal="100" zoomScalePageLayoutView="128" workbookViewId="0">
      <selection pane="topLeft" activeCell="I49" activeCellId="0" sqref="I49"/>
    </sheetView>
  </sheetViews>
  <sheetFormatPr defaultColWidth="11.3359375" defaultRowHeight="12.75" customHeight="true" zeroHeight="false" outlineLevelRow="0" outlineLevelCol="0"/>
  <cols>
    <col collapsed="false" customWidth="true" hidden="false" outlineLevel="0" max="1" min="1" style="1" width="24.11"/>
    <col collapsed="false" customWidth="true" hidden="false" outlineLevel="0" max="7" min="7" style="0" width="10.56"/>
    <col collapsed="false" customWidth="false" hidden="false" outlineLevel="0" max="11" min="8" style="1" width="11.33"/>
    <col collapsed="false" customWidth="true" hidden="false" outlineLevel="0" max="12" min="12" style="2" width="23.44"/>
    <col collapsed="false" customWidth="false" hidden="false" outlineLevel="0" max="13" min="13" style="2" width="11.33"/>
  </cols>
  <sheetData>
    <row r="1" customFormat="false" ht="26.8" hidden="false" customHeight="false" outlineLevel="0" collapsed="false">
      <c r="A1" s="3" t="s">
        <v>0</v>
      </c>
      <c r="B1" s="3"/>
      <c r="C1" s="3"/>
      <c r="D1" s="3"/>
      <c r="E1" s="3"/>
      <c r="J1" s="4"/>
      <c r="K1" s="5"/>
      <c r="L1" s="2" t="s">
        <v>1</v>
      </c>
    </row>
    <row r="2" customFormat="false" ht="24.45" hidden="false" customHeight="false" outlineLevel="0" collapsed="false">
      <c r="A2" s="6"/>
      <c r="B2" s="7"/>
      <c r="D2" s="8" t="s">
        <v>2</v>
      </c>
      <c r="E2" s="8"/>
      <c r="F2" s="8"/>
      <c r="G2" s="9"/>
      <c r="H2" s="10" t="n">
        <f aca="false">H8</f>
        <v>29.5</v>
      </c>
      <c r="I2" s="11" t="s">
        <v>3</v>
      </c>
      <c r="J2" s="12" t="s">
        <v>4</v>
      </c>
      <c r="K2" s="13" t="n">
        <v>46</v>
      </c>
      <c r="L2" s="14" t="n">
        <v>45971</v>
      </c>
      <c r="M2" s="10" t="n">
        <f aca="false">M8</f>
        <v>0</v>
      </c>
    </row>
    <row r="3" customFormat="false" ht="24.45" hidden="false" customHeight="false" outlineLevel="0" collapsed="false">
      <c r="A3" s="6"/>
      <c r="B3" s="7"/>
      <c r="C3" s="7"/>
      <c r="D3" s="8"/>
      <c r="E3" s="8"/>
      <c r="F3" s="8"/>
      <c r="G3" s="9"/>
      <c r="H3" s="10"/>
      <c r="I3" s="10"/>
      <c r="J3" s="12"/>
      <c r="K3" s="12"/>
      <c r="M3" s="10"/>
    </row>
    <row r="4" customFormat="false" ht="27.75" hidden="false" customHeight="true" outlineLevel="0" collapsed="false">
      <c r="A4" s="6"/>
      <c r="B4" s="6"/>
      <c r="C4" s="7"/>
      <c r="D4" s="15"/>
      <c r="E4" s="15"/>
      <c r="F4" s="15"/>
    </row>
    <row r="5" customFormat="false" ht="27.75" hidden="false" customHeight="true" outlineLevel="0" collapsed="false">
      <c r="A5" s="6"/>
      <c r="B5" s="7"/>
      <c r="C5" s="7"/>
      <c r="L5" s="16"/>
    </row>
    <row r="6" customFormat="false" ht="13.8" hidden="false" customHeight="false" outlineLevel="0" collapsed="false">
      <c r="A6" s="6"/>
      <c r="B6" s="7"/>
      <c r="C6" s="7"/>
      <c r="G6" s="17" t="s">
        <v>5</v>
      </c>
    </row>
    <row r="7" customFormat="false" ht="16.15" hidden="false" customHeight="false" outlineLevel="0" collapsed="false">
      <c r="A7" s="18"/>
      <c r="B7" s="19" t="s">
        <v>6</v>
      </c>
      <c r="D7" s="20"/>
      <c r="E7" s="20"/>
      <c r="F7" s="20"/>
      <c r="G7" s="21" t="s">
        <v>7</v>
      </c>
      <c r="H7" s="21" t="s">
        <v>8</v>
      </c>
      <c r="I7" s="21" t="s">
        <v>9</v>
      </c>
      <c r="J7" s="21" t="s">
        <v>10</v>
      </c>
      <c r="K7" s="22" t="s">
        <v>11</v>
      </c>
      <c r="L7" s="7"/>
      <c r="M7" s="7"/>
    </row>
    <row r="8" customFormat="false" ht="12.8" hidden="false" customHeight="false" outlineLevel="0" collapsed="false">
      <c r="A8" s="23"/>
      <c r="B8" s="24" t="s">
        <v>12</v>
      </c>
      <c r="C8" s="24"/>
      <c r="D8" s="24"/>
      <c r="E8" s="24"/>
      <c r="F8" s="25"/>
      <c r="G8" s="26" t="n">
        <f aca="false">H21+H31+H41+H51+H60</f>
        <v>32</v>
      </c>
      <c r="H8" s="27" t="n">
        <f aca="false">I21+I31+I41+I51+I60+I67</f>
        <v>29.5</v>
      </c>
      <c r="I8" s="26" t="n">
        <f aca="false">I13+I14+I15+I16+I17+I18+I19+I23+I24+I25+I26+I27+I28+I29+I33+I34+I35+I36+I37+I38+I39+I43+I44+I45+I46+I47+I48+I49+I53+I54+I55+I56+I57+I58+I62+I63+I65</f>
        <v>600</v>
      </c>
      <c r="J8" s="28" t="n">
        <f aca="false">J21+J31+J41+J51+J60+J67</f>
        <v>-2.5</v>
      </c>
      <c r="K8" s="29"/>
      <c r="L8" s="7"/>
      <c r="M8" s="30"/>
    </row>
    <row r="9" customFormat="false" ht="12.75" hidden="false" customHeight="true" outlineLevel="0" collapsed="false">
      <c r="A9" s="23"/>
      <c r="B9" s="24"/>
      <c r="C9" s="24"/>
      <c r="D9" s="24"/>
      <c r="E9" s="24"/>
      <c r="F9" s="25"/>
      <c r="G9" s="26"/>
      <c r="H9" s="26"/>
      <c r="I9" s="26"/>
      <c r="J9" s="28"/>
      <c r="K9" s="29"/>
    </row>
    <row r="10" customFormat="false" ht="12.8" hidden="false" customHeight="false" outlineLevel="0" collapsed="false">
      <c r="H10" s="31"/>
    </row>
    <row r="11" customFormat="false" ht="13.8" hidden="false" customHeight="false" outlineLevel="0" collapsed="false">
      <c r="A11" s="0"/>
      <c r="B11" s="19" t="s">
        <v>13</v>
      </c>
      <c r="C11" s="19"/>
      <c r="D11" s="19"/>
      <c r="E11" s="19"/>
      <c r="F11" s="19"/>
      <c r="G11" s="19"/>
      <c r="H11" s="0"/>
      <c r="I11" s="19"/>
      <c r="J11" s="19"/>
      <c r="K11" s="19"/>
      <c r="L11" s="7"/>
      <c r="M11" s="7"/>
    </row>
    <row r="12" customFormat="false" ht="14.25" hidden="false" customHeight="true" outlineLevel="0" collapsed="false">
      <c r="A12" s="0"/>
      <c r="C12" s="32"/>
      <c r="D12" s="32"/>
      <c r="E12" s="32"/>
      <c r="F12" s="32"/>
      <c r="G12" s="32"/>
      <c r="H12" s="32"/>
      <c r="I12" s="32"/>
      <c r="J12" s="32"/>
      <c r="K12" s="32"/>
      <c r="L12" s="7"/>
      <c r="M12" s="7"/>
    </row>
    <row r="13" customFormat="false" ht="19.5" hidden="false" customHeight="true" outlineLevel="0" collapsed="false">
      <c r="A13" s="33"/>
      <c r="B13" s="34"/>
      <c r="C13" s="34"/>
      <c r="D13" s="34"/>
      <c r="E13" s="34"/>
      <c r="F13" s="34"/>
      <c r="G13" s="34"/>
      <c r="H13" s="35" t="n">
        <v>0</v>
      </c>
      <c r="I13" s="35"/>
      <c r="J13" s="35"/>
      <c r="K13" s="35"/>
      <c r="L13" s="36"/>
      <c r="M13" s="36"/>
    </row>
    <row r="14" customFormat="false" ht="19.5" hidden="false" customHeight="true" outlineLevel="0" collapsed="false">
      <c r="A14" s="37"/>
      <c r="B14" s="33"/>
      <c r="C14" s="33"/>
      <c r="D14" s="33"/>
      <c r="E14" s="33"/>
      <c r="F14" s="33"/>
      <c r="G14" s="33"/>
      <c r="H14" s="35"/>
      <c r="I14" s="35"/>
      <c r="J14" s="35"/>
      <c r="K14" s="35"/>
      <c r="L14" s="36"/>
      <c r="M14" s="36"/>
    </row>
    <row r="15" customFormat="false" ht="19.5" hidden="false" customHeight="true" outlineLevel="0" collapsed="false">
      <c r="A15" s="33"/>
      <c r="B15" s="34"/>
      <c r="C15" s="34"/>
      <c r="D15" s="34"/>
      <c r="E15" s="34"/>
      <c r="F15" s="34"/>
      <c r="G15" s="34"/>
      <c r="H15" s="35"/>
      <c r="I15" s="35"/>
      <c r="J15" s="35"/>
      <c r="K15" s="35"/>
      <c r="L15" s="36"/>
      <c r="M15" s="36"/>
    </row>
    <row r="16" customFormat="false" ht="19.5" hidden="false" customHeight="true" outlineLevel="0" collapsed="false">
      <c r="A16" s="37"/>
      <c r="B16" s="34"/>
      <c r="C16" s="34"/>
      <c r="D16" s="34"/>
      <c r="E16" s="34"/>
      <c r="F16" s="34"/>
      <c r="G16" s="34"/>
      <c r="H16" s="35"/>
      <c r="I16" s="35"/>
      <c r="J16" s="35"/>
      <c r="K16" s="35"/>
      <c r="L16" s="36"/>
      <c r="M16" s="36"/>
    </row>
    <row r="17" customFormat="false" ht="19.5" hidden="false" customHeight="true" outlineLevel="0" collapsed="false">
      <c r="A17" s="37"/>
      <c r="B17" s="34"/>
      <c r="C17" s="34"/>
      <c r="D17" s="34"/>
      <c r="E17" s="34"/>
      <c r="F17" s="34"/>
      <c r="G17" s="34"/>
      <c r="H17" s="35"/>
      <c r="I17" s="35"/>
      <c r="J17" s="35"/>
      <c r="K17" s="35"/>
      <c r="L17" s="36"/>
      <c r="M17" s="36"/>
    </row>
    <row r="18" customFormat="false" ht="19.5" hidden="false" customHeight="true" outlineLevel="0" collapsed="false">
      <c r="A18" s="37"/>
      <c r="B18" s="34"/>
      <c r="C18" s="34"/>
      <c r="D18" s="34"/>
      <c r="E18" s="34"/>
      <c r="F18" s="34"/>
      <c r="G18" s="34"/>
      <c r="H18" s="35"/>
      <c r="I18" s="35"/>
      <c r="J18" s="35"/>
      <c r="K18" s="35"/>
      <c r="L18" s="36"/>
      <c r="M18" s="36"/>
    </row>
    <row r="19" customFormat="false" ht="19.5" hidden="false" customHeight="true" outlineLevel="0" collapsed="false">
      <c r="A19" s="37"/>
      <c r="B19" s="33" t="s">
        <v>14</v>
      </c>
      <c r="C19" s="33"/>
      <c r="D19" s="33"/>
      <c r="E19" s="33"/>
      <c r="F19" s="33"/>
      <c r="G19" s="33"/>
      <c r="H19" s="35"/>
      <c r="I19" s="35" t="n">
        <v>300</v>
      </c>
      <c r="J19" s="35"/>
      <c r="K19" s="35"/>
      <c r="L19" s="36"/>
      <c r="M19" s="36"/>
    </row>
    <row r="20" customFormat="false" ht="12.8" hidden="false" customHeight="false" outlineLevel="0" collapsed="false">
      <c r="A20" s="38" t="str">
        <f aca="false">TEXT(L2,"TTT TT.MM.JJJJ")</f>
        <v>Mo 10.11.2025</v>
      </c>
      <c r="B20" s="39" t="s">
        <v>15</v>
      </c>
      <c r="C20" s="40"/>
      <c r="D20" s="41" t="s">
        <v>16</v>
      </c>
      <c r="E20" s="40"/>
      <c r="F20" s="42"/>
      <c r="G20" s="43"/>
      <c r="H20" s="44" t="s">
        <v>17</v>
      </c>
      <c r="I20" s="44" t="s">
        <v>18</v>
      </c>
      <c r="J20" s="44" t="s">
        <v>19</v>
      </c>
      <c r="K20" s="45"/>
      <c r="L20" s="7"/>
      <c r="M20" s="7"/>
    </row>
    <row r="21" customFormat="false" ht="13.8" hidden="false" customHeight="false" outlineLevel="0" collapsed="false">
      <c r="A21" s="38"/>
      <c r="B21" s="39"/>
      <c r="C21" s="40"/>
      <c r="D21" s="41"/>
      <c r="E21" s="40"/>
      <c r="F21" s="42"/>
      <c r="G21" s="43"/>
      <c r="H21" s="46" t="n">
        <v>0</v>
      </c>
      <c r="I21" s="47" t="n">
        <f aca="false">SUM(H13:H19)</f>
        <v>0</v>
      </c>
      <c r="J21" s="46" t="n">
        <f aca="false">I21-H21</f>
        <v>0</v>
      </c>
      <c r="K21" s="45"/>
      <c r="L21" s="7"/>
      <c r="M21" s="7"/>
    </row>
    <row r="22" customFormat="false" ht="13.5" hidden="false" customHeight="true" outlineLevel="0" collapsed="false">
      <c r="A22" s="48"/>
      <c r="B22" s="49"/>
      <c r="C22" s="49"/>
      <c r="D22" s="49"/>
      <c r="E22" s="49"/>
      <c r="F22" s="49"/>
      <c r="G22" s="49"/>
      <c r="H22" s="48"/>
      <c r="I22" s="48"/>
      <c r="J22" s="48"/>
      <c r="K22" s="48"/>
    </row>
    <row r="23" customFormat="false" ht="19.5" hidden="false" customHeight="true" outlineLevel="0" collapsed="false">
      <c r="A23" s="50"/>
      <c r="B23" s="51" t="s">
        <v>20</v>
      </c>
      <c r="C23" s="51"/>
      <c r="D23" s="51"/>
      <c r="E23" s="51"/>
      <c r="F23" s="51"/>
      <c r="G23" s="51"/>
      <c r="H23" s="52"/>
      <c r="I23" s="52"/>
      <c r="J23" s="52"/>
      <c r="K23" s="52"/>
      <c r="L23" s="36"/>
      <c r="M23" s="36"/>
    </row>
    <row r="24" customFormat="false" ht="19.5" hidden="false" customHeight="true" outlineLevel="0" collapsed="false">
      <c r="A24" s="33"/>
      <c r="B24" s="34"/>
      <c r="C24" s="34"/>
      <c r="D24" s="34"/>
      <c r="E24" s="34"/>
      <c r="F24" s="34"/>
      <c r="G24" s="34"/>
      <c r="H24" s="35"/>
      <c r="I24" s="52"/>
      <c r="J24" s="52"/>
      <c r="K24" s="52"/>
      <c r="L24" s="36"/>
      <c r="M24" s="36"/>
    </row>
    <row r="25" customFormat="false" ht="19.5" hidden="false" customHeight="true" outlineLevel="0" collapsed="false">
      <c r="A25" s="33" t="s">
        <v>21</v>
      </c>
      <c r="B25" s="51" t="s">
        <v>22</v>
      </c>
      <c r="C25" s="51"/>
      <c r="D25" s="51"/>
      <c r="E25" s="51"/>
      <c r="F25" s="51"/>
      <c r="G25" s="51"/>
      <c r="H25" s="35" t="n">
        <v>2.5</v>
      </c>
      <c r="I25" s="52"/>
      <c r="J25" s="52"/>
      <c r="K25" s="52"/>
      <c r="L25" s="36"/>
      <c r="M25" s="36"/>
    </row>
    <row r="26" customFormat="false" ht="19.5" hidden="false" customHeight="true" outlineLevel="0" collapsed="false">
      <c r="A26" s="50" t="s">
        <v>23</v>
      </c>
      <c r="B26" s="51" t="s">
        <v>24</v>
      </c>
      <c r="C26" s="51"/>
      <c r="D26" s="51"/>
      <c r="E26" s="51"/>
      <c r="F26" s="51"/>
      <c r="G26" s="51"/>
      <c r="H26" s="52" t="n">
        <v>0.5</v>
      </c>
      <c r="I26" s="52"/>
      <c r="J26" s="52"/>
      <c r="K26" s="52"/>
      <c r="L26" s="36"/>
      <c r="M26" s="36"/>
    </row>
    <row r="27" customFormat="false" ht="19.5" hidden="false" customHeight="true" outlineLevel="0" collapsed="false">
      <c r="A27" s="50" t="s">
        <v>25</v>
      </c>
      <c r="B27" s="51" t="s">
        <v>26</v>
      </c>
      <c r="C27" s="51"/>
      <c r="D27" s="51"/>
      <c r="E27" s="51"/>
      <c r="F27" s="51"/>
      <c r="G27" s="51"/>
      <c r="H27" s="52" t="n">
        <v>5</v>
      </c>
      <c r="I27" s="52"/>
      <c r="J27" s="52"/>
      <c r="K27" s="52"/>
      <c r="L27" s="36"/>
      <c r="M27" s="36"/>
    </row>
    <row r="28" customFormat="false" ht="19.5" hidden="false" customHeight="true" outlineLevel="0" collapsed="false">
      <c r="A28" s="33" t="s">
        <v>25</v>
      </c>
      <c r="B28" s="51" t="s">
        <v>27</v>
      </c>
      <c r="C28" s="51"/>
      <c r="D28" s="51"/>
      <c r="E28" s="51"/>
      <c r="F28" s="51"/>
      <c r="G28" s="51"/>
      <c r="H28" s="35" t="n">
        <v>0.5</v>
      </c>
      <c r="I28" s="52"/>
      <c r="J28" s="52"/>
      <c r="K28" s="52"/>
      <c r="L28" s="36"/>
      <c r="M28" s="36"/>
    </row>
    <row r="29" customFormat="false" ht="19.5" hidden="false" customHeight="true" outlineLevel="0" collapsed="false">
      <c r="A29" s="50"/>
      <c r="B29" s="53"/>
      <c r="C29" s="53"/>
      <c r="D29" s="53"/>
      <c r="E29" s="53"/>
      <c r="F29" s="53"/>
      <c r="G29" s="53"/>
      <c r="H29" s="35"/>
      <c r="I29" s="35"/>
      <c r="J29" s="52"/>
      <c r="K29" s="52"/>
      <c r="L29" s="36"/>
      <c r="M29" s="36"/>
    </row>
    <row r="30" customFormat="false" ht="17.25" hidden="false" customHeight="true" outlineLevel="0" collapsed="false">
      <c r="A30" s="38" t="str">
        <f aca="false">TEXT(L2+1,"TTT TT.MM.JJJJ")</f>
        <v>Di 11.11.2025</v>
      </c>
      <c r="B30" s="39" t="s">
        <v>15</v>
      </c>
      <c r="C30" s="40" t="n">
        <v>0.416666666666667</v>
      </c>
      <c r="D30" s="41" t="s">
        <v>16</v>
      </c>
      <c r="E30" s="40" t="n">
        <v>0.875</v>
      </c>
      <c r="F30" s="54" t="n">
        <f aca="false">(MOD(E30-C30,1)*24)</f>
        <v>11</v>
      </c>
      <c r="G30" s="43"/>
      <c r="H30" s="44" t="s">
        <v>17</v>
      </c>
      <c r="I30" s="44" t="s">
        <v>18</v>
      </c>
      <c r="J30" s="44" t="s">
        <v>19</v>
      </c>
      <c r="K30" s="45"/>
      <c r="L30" s="7"/>
      <c r="M30" s="7"/>
    </row>
    <row r="31" customFormat="false" ht="13.5" hidden="false" customHeight="true" outlineLevel="0" collapsed="false">
      <c r="A31" s="38"/>
      <c r="B31" s="39"/>
      <c r="C31" s="40"/>
      <c r="D31" s="41"/>
      <c r="E31" s="40"/>
      <c r="F31" s="54"/>
      <c r="G31" s="43"/>
      <c r="H31" s="55" t="n">
        <v>8</v>
      </c>
      <c r="I31" s="56" t="n">
        <f aca="false">SUM(H23:H29)</f>
        <v>8.5</v>
      </c>
      <c r="J31" s="55" t="n">
        <f aca="false">I31-H31</f>
        <v>0.5</v>
      </c>
      <c r="K31" s="45"/>
    </row>
    <row r="32" customFormat="false" ht="12.8" hidden="false" customHeight="false" outlineLevel="0" collapsed="false">
      <c r="A32" s="48"/>
      <c r="B32" s="49"/>
      <c r="C32" s="49"/>
      <c r="D32" s="49"/>
      <c r="E32" s="49"/>
      <c r="F32" s="49"/>
      <c r="G32" s="49"/>
      <c r="H32" s="48"/>
      <c r="I32" s="48"/>
      <c r="J32" s="48"/>
      <c r="K32" s="48"/>
    </row>
    <row r="33" customFormat="false" ht="19.5" hidden="false" customHeight="true" outlineLevel="0" collapsed="false">
      <c r="A33" s="50"/>
      <c r="B33" s="51" t="s">
        <v>20</v>
      </c>
      <c r="C33" s="51"/>
      <c r="D33" s="51"/>
      <c r="E33" s="51"/>
      <c r="F33" s="51"/>
      <c r="G33" s="51"/>
      <c r="H33" s="35"/>
      <c r="I33" s="35"/>
      <c r="J33" s="35"/>
      <c r="K33" s="35"/>
      <c r="L33" s="36"/>
      <c r="M33" s="36"/>
    </row>
    <row r="34" customFormat="false" ht="19.5" hidden="false" customHeight="true" outlineLevel="0" collapsed="false">
      <c r="A34" s="33"/>
      <c r="B34" s="51"/>
      <c r="C34" s="51"/>
      <c r="D34" s="51"/>
      <c r="E34" s="51"/>
      <c r="F34" s="51"/>
      <c r="G34" s="51"/>
      <c r="H34" s="35"/>
      <c r="I34" s="35"/>
      <c r="J34" s="35"/>
      <c r="K34" s="35"/>
      <c r="L34" s="36"/>
      <c r="M34" s="36"/>
    </row>
    <row r="35" customFormat="false" ht="19.5" hidden="false" customHeight="true" outlineLevel="0" collapsed="false">
      <c r="A35" s="33"/>
      <c r="B35" s="51"/>
      <c r="C35" s="51"/>
      <c r="D35" s="51"/>
      <c r="E35" s="51"/>
      <c r="F35" s="51"/>
      <c r="G35" s="51"/>
      <c r="H35" s="52"/>
      <c r="I35" s="35"/>
      <c r="J35" s="35"/>
      <c r="K35" s="35"/>
      <c r="L35" s="36"/>
      <c r="M35" s="36"/>
    </row>
    <row r="36" customFormat="false" ht="19.5" hidden="false" customHeight="true" outlineLevel="0" collapsed="false">
      <c r="A36" s="33"/>
      <c r="B36" s="51"/>
      <c r="C36" s="51"/>
      <c r="D36" s="51"/>
      <c r="E36" s="51"/>
      <c r="F36" s="51"/>
      <c r="G36" s="51"/>
      <c r="H36" s="35"/>
      <c r="I36" s="35"/>
      <c r="J36" s="35"/>
      <c r="K36" s="35"/>
      <c r="L36" s="36"/>
      <c r="M36" s="36"/>
    </row>
    <row r="37" customFormat="false" ht="19.5" hidden="false" customHeight="true" outlineLevel="0" collapsed="false">
      <c r="A37" s="50" t="s">
        <v>28</v>
      </c>
      <c r="B37" s="51" t="s">
        <v>29</v>
      </c>
      <c r="C37" s="51"/>
      <c r="D37" s="51"/>
      <c r="E37" s="51"/>
      <c r="F37" s="51"/>
      <c r="G37" s="51"/>
      <c r="H37" s="52" t="n">
        <v>8</v>
      </c>
      <c r="I37" s="35"/>
      <c r="J37" s="35"/>
      <c r="K37" s="35"/>
      <c r="L37" s="36"/>
      <c r="M37" s="36"/>
    </row>
    <row r="38" customFormat="false" ht="19.5" hidden="false" customHeight="true" outlineLevel="0" collapsed="false">
      <c r="A38" s="50" t="s">
        <v>25</v>
      </c>
      <c r="B38" s="51" t="s">
        <v>30</v>
      </c>
      <c r="C38" s="51"/>
      <c r="D38" s="51"/>
      <c r="E38" s="51"/>
      <c r="F38" s="51"/>
      <c r="G38" s="51"/>
      <c r="H38" s="52" t="n">
        <v>1</v>
      </c>
      <c r="I38" s="35"/>
      <c r="J38" s="35"/>
      <c r="K38" s="35"/>
      <c r="L38" s="36"/>
      <c r="M38" s="36"/>
    </row>
    <row r="39" customFormat="false" ht="19.5" hidden="false" customHeight="true" outlineLevel="0" collapsed="false">
      <c r="A39" s="50"/>
      <c r="B39" s="51"/>
      <c r="C39" s="51"/>
      <c r="D39" s="51"/>
      <c r="E39" s="51"/>
      <c r="F39" s="51"/>
      <c r="G39" s="51"/>
      <c r="H39" s="52"/>
      <c r="I39" s="35"/>
      <c r="J39" s="35"/>
      <c r="K39" s="35"/>
      <c r="L39" s="36"/>
      <c r="M39" s="36"/>
    </row>
    <row r="40" customFormat="false" ht="17.25" hidden="false" customHeight="true" outlineLevel="0" collapsed="false">
      <c r="A40" s="38" t="str">
        <f aca="false">TEXT(L2+2,"TTT TT.MM.JJJJ")</f>
        <v>Mi 12.11.2025</v>
      </c>
      <c r="B40" s="39" t="s">
        <v>15</v>
      </c>
      <c r="C40" s="40" t="n">
        <v>0.375</v>
      </c>
      <c r="D40" s="41" t="s">
        <v>16</v>
      </c>
      <c r="E40" s="40" t="n">
        <v>0.979166666666667</v>
      </c>
      <c r="F40" s="54" t="n">
        <f aca="false">(MOD(E40-C40,1)*24)</f>
        <v>14.5</v>
      </c>
      <c r="G40" s="43"/>
      <c r="H40" s="44" t="s">
        <v>17</v>
      </c>
      <c r="I40" s="44" t="s">
        <v>18</v>
      </c>
      <c r="J40" s="44" t="s">
        <v>19</v>
      </c>
      <c r="K40" s="45"/>
      <c r="L40" s="7"/>
      <c r="M40" s="7"/>
    </row>
    <row r="41" customFormat="false" ht="13.5" hidden="false" customHeight="true" outlineLevel="0" collapsed="false">
      <c r="A41" s="38"/>
      <c r="B41" s="39"/>
      <c r="C41" s="40"/>
      <c r="D41" s="41"/>
      <c r="E41" s="40"/>
      <c r="F41" s="54"/>
      <c r="G41" s="43"/>
      <c r="H41" s="57" t="n">
        <v>8</v>
      </c>
      <c r="I41" s="56" t="n">
        <f aca="false">SUM(H33:I39)</f>
        <v>9</v>
      </c>
      <c r="J41" s="55" t="n">
        <f aca="false">I41-H41</f>
        <v>1</v>
      </c>
      <c r="K41" s="45"/>
    </row>
    <row r="42" customFormat="false" ht="12.8" hidden="false" customHeight="false" outlineLevel="0" collapsed="false">
      <c r="A42" s="48"/>
      <c r="B42" s="49"/>
      <c r="C42" s="49"/>
      <c r="D42" s="49"/>
      <c r="E42" s="49"/>
      <c r="F42" s="49"/>
      <c r="G42" s="49"/>
      <c r="H42" s="48"/>
      <c r="I42" s="48"/>
      <c r="J42" s="48"/>
      <c r="K42" s="48"/>
    </row>
    <row r="43" customFormat="false" ht="19.5" hidden="false" customHeight="true" outlineLevel="0" collapsed="false">
      <c r="A43" s="50"/>
      <c r="B43" s="51" t="s">
        <v>20</v>
      </c>
      <c r="C43" s="51"/>
      <c r="D43" s="51"/>
      <c r="E43" s="51"/>
      <c r="F43" s="51"/>
      <c r="G43" s="51"/>
      <c r="H43" s="35"/>
      <c r="I43" s="35"/>
      <c r="J43" s="35"/>
      <c r="K43" s="35"/>
      <c r="L43" s="36"/>
      <c r="M43" s="36"/>
    </row>
    <row r="44" customFormat="false" ht="19.5" hidden="false" customHeight="true" outlineLevel="0" collapsed="false">
      <c r="A44" s="33" t="s">
        <v>28</v>
      </c>
      <c r="B44" s="51" t="s">
        <v>31</v>
      </c>
      <c r="C44" s="51"/>
      <c r="D44" s="51"/>
      <c r="E44" s="51"/>
      <c r="F44" s="51"/>
      <c r="G44" s="51"/>
      <c r="H44" s="52" t="n">
        <v>6</v>
      </c>
      <c r="I44" s="35"/>
      <c r="J44" s="35"/>
      <c r="K44" s="35"/>
      <c r="L44" s="36"/>
      <c r="M44" s="36"/>
    </row>
    <row r="45" customFormat="false" ht="19.5" hidden="false" customHeight="true" outlineLevel="0" collapsed="false">
      <c r="A45" s="50" t="s">
        <v>32</v>
      </c>
      <c r="B45" s="51" t="s">
        <v>33</v>
      </c>
      <c r="C45" s="51"/>
      <c r="D45" s="51"/>
      <c r="E45" s="51"/>
      <c r="F45" s="51"/>
      <c r="G45" s="51"/>
      <c r="H45" s="52" t="n">
        <v>1</v>
      </c>
      <c r="I45" s="35"/>
      <c r="J45" s="35"/>
      <c r="K45" s="35"/>
      <c r="L45" s="36"/>
      <c r="M45" s="36"/>
    </row>
    <row r="46" customFormat="false" ht="19.5" hidden="false" customHeight="true" outlineLevel="0" collapsed="false">
      <c r="A46" s="33" t="s">
        <v>34</v>
      </c>
      <c r="B46" s="51" t="s">
        <v>35</v>
      </c>
      <c r="C46" s="51"/>
      <c r="D46" s="51"/>
      <c r="E46" s="51"/>
      <c r="F46" s="51"/>
      <c r="G46" s="51"/>
      <c r="H46" s="35" t="n">
        <v>1</v>
      </c>
      <c r="I46" s="35"/>
      <c r="J46" s="35"/>
      <c r="K46" s="35"/>
      <c r="L46" s="36"/>
      <c r="M46" s="36"/>
    </row>
    <row r="47" customFormat="false" ht="19.5" hidden="false" customHeight="true" outlineLevel="0" collapsed="false">
      <c r="A47" s="50"/>
      <c r="B47" s="51"/>
      <c r="C47" s="51"/>
      <c r="D47" s="51"/>
      <c r="E47" s="51"/>
      <c r="F47" s="51"/>
      <c r="G47" s="51"/>
      <c r="H47" s="52"/>
      <c r="I47" s="35"/>
      <c r="J47" s="35"/>
      <c r="K47" s="35"/>
      <c r="L47" s="36"/>
      <c r="M47" s="36"/>
    </row>
    <row r="48" customFormat="false" ht="19.5" hidden="false" customHeight="true" outlineLevel="0" collapsed="false">
      <c r="A48" s="33"/>
      <c r="B48" s="58"/>
      <c r="C48" s="58"/>
      <c r="D48" s="58"/>
      <c r="E48" s="58"/>
      <c r="F48" s="58"/>
      <c r="G48" s="58"/>
      <c r="H48" s="35"/>
      <c r="I48" s="35"/>
      <c r="J48" s="35"/>
      <c r="K48" s="35"/>
      <c r="L48" s="36"/>
      <c r="M48" s="36"/>
    </row>
    <row r="49" customFormat="false" ht="19.5" hidden="false" customHeight="true" outlineLevel="0" collapsed="false">
      <c r="A49" s="50"/>
      <c r="B49" s="58"/>
      <c r="C49" s="58"/>
      <c r="D49" s="58"/>
      <c r="E49" s="58"/>
      <c r="F49" s="58"/>
      <c r="G49" s="58"/>
      <c r="H49" s="35"/>
      <c r="I49" s="35"/>
      <c r="J49" s="35"/>
      <c r="K49" s="35"/>
      <c r="L49" s="36"/>
      <c r="M49" s="36"/>
    </row>
    <row r="50" customFormat="false" ht="17.25" hidden="false" customHeight="true" outlineLevel="0" collapsed="false">
      <c r="A50" s="38" t="str">
        <f aca="false">TEXT(L2+3,"TTT TT.MM.JJJJ")</f>
        <v>Do 13.11.2025</v>
      </c>
      <c r="B50" s="39" t="s">
        <v>15</v>
      </c>
      <c r="C50" s="40" t="n">
        <v>0.479166666666667</v>
      </c>
      <c r="D50" s="41" t="s">
        <v>16</v>
      </c>
      <c r="E50" s="40" t="n">
        <v>0.75</v>
      </c>
      <c r="F50" s="54" t="n">
        <f aca="false">(MOD(E50-C50,1)*24)</f>
        <v>6.5</v>
      </c>
      <c r="G50" s="43"/>
      <c r="H50" s="44" t="s">
        <v>17</v>
      </c>
      <c r="I50" s="44" t="s">
        <v>18</v>
      </c>
      <c r="J50" s="44" t="s">
        <v>19</v>
      </c>
      <c r="K50" s="45"/>
      <c r="L50" s="7"/>
      <c r="M50" s="7"/>
    </row>
    <row r="51" customFormat="false" ht="13.5" hidden="false" customHeight="true" outlineLevel="0" collapsed="false">
      <c r="A51" s="38"/>
      <c r="B51" s="39"/>
      <c r="C51" s="40"/>
      <c r="D51" s="41"/>
      <c r="E51" s="40"/>
      <c r="F51" s="54"/>
      <c r="G51" s="43"/>
      <c r="H51" s="55" t="n">
        <v>8</v>
      </c>
      <c r="I51" s="56" t="n">
        <f aca="false">SUM(H43:H49)</f>
        <v>8</v>
      </c>
      <c r="J51" s="55" t="n">
        <f aca="false">I51-H51</f>
        <v>0</v>
      </c>
      <c r="K51" s="45"/>
    </row>
    <row r="52" customFormat="false" ht="12.8" hidden="false" customHeight="false" outlineLevel="0" collapsed="false">
      <c r="A52" s="48"/>
      <c r="B52" s="49"/>
      <c r="C52" s="49"/>
      <c r="D52" s="49"/>
      <c r="E52" s="49"/>
      <c r="F52" s="49"/>
      <c r="G52" s="49"/>
      <c r="H52" s="48"/>
      <c r="I52" s="48"/>
      <c r="J52" s="48"/>
      <c r="K52" s="48"/>
    </row>
    <row r="53" customFormat="false" ht="19.5" hidden="false" customHeight="true" outlineLevel="0" collapsed="false">
      <c r="A53" s="33"/>
      <c r="B53" s="51" t="s">
        <v>20</v>
      </c>
      <c r="C53" s="51"/>
      <c r="D53" s="51"/>
      <c r="E53" s="51"/>
      <c r="F53" s="51"/>
      <c r="G53" s="51"/>
      <c r="H53" s="35"/>
      <c r="I53" s="52"/>
      <c r="J53" s="52"/>
      <c r="K53" s="52"/>
      <c r="L53" s="36"/>
      <c r="M53" s="36"/>
    </row>
    <row r="54" customFormat="false" ht="19.5" hidden="false" customHeight="true" outlineLevel="0" collapsed="false">
      <c r="A54" s="33" t="s">
        <v>28</v>
      </c>
      <c r="B54" s="34" t="s">
        <v>36</v>
      </c>
      <c r="C54" s="34"/>
      <c r="D54" s="34"/>
      <c r="E54" s="34"/>
      <c r="F54" s="34"/>
      <c r="G54" s="34"/>
      <c r="H54" s="35" t="n">
        <v>2</v>
      </c>
      <c r="I54" s="52"/>
      <c r="J54" s="52"/>
      <c r="K54" s="52"/>
      <c r="L54" s="36"/>
      <c r="M54" s="36"/>
    </row>
    <row r="55" customFormat="false" ht="19.5" hidden="false" customHeight="true" outlineLevel="0" collapsed="false">
      <c r="A55" s="33" t="s">
        <v>34</v>
      </c>
      <c r="B55" s="58" t="s">
        <v>37</v>
      </c>
      <c r="C55" s="58"/>
      <c r="D55" s="58"/>
      <c r="E55" s="58"/>
      <c r="F55" s="58"/>
      <c r="G55" s="58"/>
      <c r="H55" s="35" t="n">
        <v>1</v>
      </c>
      <c r="I55" s="52"/>
      <c r="J55" s="52"/>
      <c r="K55" s="52"/>
      <c r="L55" s="36"/>
      <c r="M55" s="36"/>
    </row>
    <row r="56" customFormat="false" ht="19.5" hidden="false" customHeight="true" outlineLevel="0" collapsed="false">
      <c r="A56" s="50" t="s">
        <v>25</v>
      </c>
      <c r="B56" s="51" t="s">
        <v>30</v>
      </c>
      <c r="C56" s="51"/>
      <c r="D56" s="51"/>
      <c r="E56" s="51"/>
      <c r="F56" s="51"/>
      <c r="G56" s="51"/>
      <c r="H56" s="52" t="n">
        <v>1</v>
      </c>
      <c r="I56" s="52"/>
      <c r="J56" s="52"/>
      <c r="K56" s="52"/>
      <c r="L56" s="36"/>
      <c r="M56" s="36"/>
    </row>
    <row r="57" customFormat="false" ht="19.5" hidden="false" customHeight="true" outlineLevel="0" collapsed="false">
      <c r="A57" s="33"/>
      <c r="B57" s="58"/>
      <c r="C57" s="58"/>
      <c r="D57" s="58"/>
      <c r="E57" s="58"/>
      <c r="F57" s="58"/>
      <c r="G57" s="58"/>
      <c r="H57" s="35"/>
      <c r="I57" s="52"/>
      <c r="J57" s="52"/>
      <c r="K57" s="52"/>
      <c r="L57" s="36"/>
      <c r="M57" s="36"/>
    </row>
    <row r="58" customFormat="false" ht="19.5" hidden="false" customHeight="true" outlineLevel="0" collapsed="false">
      <c r="A58" s="50"/>
      <c r="B58" s="59"/>
      <c r="C58" s="59"/>
      <c r="D58" s="59"/>
      <c r="E58" s="59"/>
      <c r="F58" s="59"/>
      <c r="G58" s="59"/>
      <c r="H58" s="52"/>
      <c r="I58" s="52"/>
      <c r="J58" s="52"/>
      <c r="K58" s="52"/>
      <c r="L58" s="36"/>
      <c r="M58" s="36"/>
    </row>
    <row r="59" customFormat="false" ht="17.25" hidden="false" customHeight="true" outlineLevel="0" collapsed="false">
      <c r="A59" s="38" t="str">
        <f aca="false">TEXT(L2+4,"TTT TT.MM.JJJJ")</f>
        <v>Fr 14.11.2025</v>
      </c>
      <c r="B59" s="39" t="s">
        <v>15</v>
      </c>
      <c r="C59" s="40" t="n">
        <v>0.375</v>
      </c>
      <c r="D59" s="41" t="s">
        <v>16</v>
      </c>
      <c r="E59" s="40" t="n">
        <v>0.666666666666667</v>
      </c>
      <c r="F59" s="54" t="n">
        <f aca="false">(MOD(E59-C59,1)*24)</f>
        <v>7</v>
      </c>
      <c r="G59" s="43"/>
      <c r="H59" s="44" t="s">
        <v>17</v>
      </c>
      <c r="I59" s="44" t="s">
        <v>18</v>
      </c>
      <c r="J59" s="44" t="s">
        <v>19</v>
      </c>
      <c r="K59" s="45"/>
      <c r="L59" s="7"/>
      <c r="M59" s="7"/>
    </row>
    <row r="60" customFormat="false" ht="13.5" hidden="false" customHeight="true" outlineLevel="0" collapsed="false">
      <c r="A60" s="38"/>
      <c r="B60" s="39"/>
      <c r="C60" s="40"/>
      <c r="D60" s="41"/>
      <c r="E60" s="40"/>
      <c r="F60" s="54"/>
      <c r="G60" s="43"/>
      <c r="H60" s="55" t="n">
        <v>8</v>
      </c>
      <c r="I60" s="56" t="n">
        <f aca="false">SUM(H53:H58)</f>
        <v>4</v>
      </c>
      <c r="J60" s="55" t="n">
        <f aca="false">I60-H60</f>
        <v>-4</v>
      </c>
      <c r="K60" s="45"/>
    </row>
    <row r="61" customFormat="false" ht="12.8" hidden="false" customHeight="false" outlineLevel="0" collapsed="false">
      <c r="A61" s="48"/>
      <c r="B61" s="49"/>
      <c r="C61" s="49"/>
      <c r="D61" s="49"/>
      <c r="E61" s="49"/>
      <c r="F61" s="49"/>
      <c r="G61" s="49"/>
      <c r="H61" s="48"/>
      <c r="I61" s="48"/>
      <c r="J61" s="48"/>
      <c r="K61" s="48"/>
    </row>
    <row r="62" customFormat="false" ht="19.5" hidden="false" customHeight="true" outlineLevel="0" collapsed="false">
      <c r="A62" s="60"/>
      <c r="B62" s="61"/>
      <c r="C62" s="61"/>
      <c r="D62" s="61"/>
      <c r="E62" s="61"/>
      <c r="F62" s="61"/>
      <c r="G62" s="61"/>
      <c r="H62" s="52" t="n">
        <v>0</v>
      </c>
      <c r="I62" s="52" t="n">
        <v>300</v>
      </c>
      <c r="J62" s="52"/>
      <c r="K62" s="52"/>
      <c r="L62" s="36"/>
      <c r="M62" s="36"/>
    </row>
    <row r="63" customFormat="false" ht="19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36"/>
      <c r="M63" s="36"/>
    </row>
    <row r="64" customFormat="false" ht="19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36"/>
      <c r="M64" s="36"/>
    </row>
    <row r="65" customFormat="false" ht="19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36"/>
      <c r="M65" s="36"/>
    </row>
    <row r="66" customFormat="false" ht="13.8" hidden="false" customHeight="false" outlineLevel="0" collapsed="false">
      <c r="A66" s="62" t="str">
        <f aca="false">TEXT(L2+5,"  TTT TT.MM.JJJJ /")</f>
        <v>Sa 15.11.2025 /</v>
      </c>
      <c r="B66" s="39" t="s">
        <v>15</v>
      </c>
      <c r="C66" s="40"/>
      <c r="D66" s="41" t="s">
        <v>16</v>
      </c>
      <c r="E66" s="40"/>
      <c r="F66" s="42" t="n">
        <f aca="false">(MOD(E66-C66,1)*24)</f>
        <v>0</v>
      </c>
      <c r="G66" s="43"/>
      <c r="H66" s="44" t="s">
        <v>17</v>
      </c>
      <c r="I66" s="44" t="s">
        <v>18</v>
      </c>
      <c r="J66" s="44" t="s">
        <v>19</v>
      </c>
      <c r="K66" s="63"/>
      <c r="L66" s="7"/>
      <c r="M66" s="7"/>
    </row>
    <row r="67" customFormat="false" ht="13.8" hidden="false" customHeight="false" outlineLevel="0" collapsed="false">
      <c r="A67" s="64" t="str">
        <f aca="false">TEXT(L2+6,"TTT TT.MM.JJJJ")</f>
        <v>So 16.11.2025</v>
      </c>
      <c r="B67" s="39"/>
      <c r="C67" s="40"/>
      <c r="D67" s="41"/>
      <c r="E67" s="40"/>
      <c r="F67" s="42"/>
      <c r="G67" s="43"/>
      <c r="H67" s="65" t="n">
        <v>0</v>
      </c>
      <c r="I67" s="56" t="n">
        <f aca="false">SUM(H62)</f>
        <v>0</v>
      </c>
      <c r="J67" s="65" t="n">
        <f aca="false">I67-H67</f>
        <v>0</v>
      </c>
      <c r="K67" s="63"/>
    </row>
    <row r="68" customFormat="false" ht="12.8" hidden="false" customHeight="false" outlineLevel="0" collapsed="false">
      <c r="A68" s="48"/>
      <c r="B68" s="49"/>
      <c r="C68" s="49"/>
      <c r="D68" s="49"/>
      <c r="E68" s="49"/>
      <c r="F68" s="49"/>
      <c r="G68" s="49"/>
      <c r="H68" s="48"/>
      <c r="I68" s="48"/>
      <c r="J68" s="48"/>
      <c r="K68" s="48"/>
    </row>
    <row r="69" customFormat="false" ht="12.8" hidden="false" customHeight="false" outlineLevel="0" collapsed="false">
      <c r="A69" s="48"/>
      <c r="B69" s="49"/>
      <c r="C69" s="49"/>
      <c r="D69" s="49"/>
      <c r="E69" s="49"/>
      <c r="F69" s="49"/>
      <c r="G69" s="49"/>
      <c r="H69" s="48"/>
      <c r="I69" s="48"/>
      <c r="J69" s="48"/>
      <c r="K69" s="48"/>
    </row>
    <row r="70" customFormat="false" ht="12.8" hidden="false" customHeight="false" outlineLevel="0" collapsed="false">
      <c r="A70" s="48"/>
      <c r="B70" s="49"/>
      <c r="C70" s="49"/>
      <c r="D70" s="49"/>
      <c r="E70" s="49"/>
      <c r="F70" s="49"/>
      <c r="G70" s="49"/>
      <c r="H70" s="48"/>
      <c r="I70" s="48"/>
      <c r="J70" s="48"/>
      <c r="K70" s="48"/>
    </row>
    <row r="71" customFormat="false" ht="12.8" hidden="false" customHeight="false" outlineLevel="0" collapsed="false">
      <c r="A71" s="48"/>
      <c r="B71" s="49"/>
      <c r="C71" s="49"/>
      <c r="D71" s="49"/>
      <c r="E71" s="49"/>
      <c r="F71" s="49"/>
      <c r="G71" s="49"/>
      <c r="H71" s="48"/>
      <c r="I71" s="48"/>
      <c r="J71" s="48"/>
      <c r="K71" s="48"/>
    </row>
    <row r="72" customFormat="false" ht="12.8" hidden="false" customHeight="false" outlineLevel="0" collapsed="false">
      <c r="A72" s="48"/>
      <c r="B72" s="49"/>
      <c r="C72" s="49"/>
      <c r="D72" s="49"/>
      <c r="E72" s="49"/>
      <c r="F72" s="49"/>
      <c r="G72" s="49"/>
      <c r="H72" s="48"/>
      <c r="I72" s="48"/>
      <c r="J72" s="48"/>
      <c r="K72" s="48"/>
    </row>
    <row r="73" customFormat="false" ht="12.8" hidden="false" customHeight="false" outlineLevel="0" collapsed="false">
      <c r="A73" s="48"/>
      <c r="B73" s="58" t="s">
        <v>38</v>
      </c>
      <c r="C73" s="58"/>
      <c r="D73" s="58"/>
      <c r="E73" s="58"/>
      <c r="F73" s="58"/>
      <c r="G73" s="58"/>
      <c r="H73" s="48"/>
      <c r="I73" s="48"/>
      <c r="J73" s="48"/>
      <c r="K73" s="48"/>
    </row>
    <row r="74" customFormat="false" ht="12.8" hidden="false" customHeight="false" outlineLevel="0" collapsed="false">
      <c r="A74" s="48"/>
      <c r="B74" s="58" t="s">
        <v>39</v>
      </c>
      <c r="C74" s="58"/>
      <c r="D74" s="58"/>
      <c r="E74" s="58"/>
      <c r="F74" s="58"/>
      <c r="G74" s="58"/>
      <c r="H74" s="48"/>
      <c r="I74" s="48"/>
      <c r="J74" s="48"/>
      <c r="K74" s="48"/>
    </row>
    <row r="75" customFormat="false" ht="12.8" hidden="false" customHeight="false" outlineLevel="0" collapsed="false">
      <c r="A75" s="48"/>
      <c r="B75" s="58" t="s">
        <v>39</v>
      </c>
      <c r="C75" s="58"/>
      <c r="D75" s="58"/>
      <c r="E75" s="58"/>
      <c r="F75" s="58"/>
      <c r="G75" s="58"/>
      <c r="H75" s="48"/>
      <c r="I75" s="48"/>
      <c r="J75" s="48"/>
      <c r="K75" s="48"/>
    </row>
    <row r="76" customFormat="false" ht="12.8" hidden="false" customHeight="false" outlineLevel="0" collapsed="false">
      <c r="A76" s="48"/>
      <c r="B76" s="34" t="s">
        <v>40</v>
      </c>
      <c r="C76" s="34"/>
      <c r="D76" s="34"/>
      <c r="E76" s="34"/>
      <c r="F76" s="34"/>
      <c r="G76" s="34"/>
      <c r="H76" s="48"/>
      <c r="I76" s="48"/>
      <c r="J76" s="48"/>
      <c r="K76" s="48"/>
    </row>
    <row r="77" customFormat="false" ht="12.8" hidden="false" customHeight="false" outlineLevel="0" collapsed="false">
      <c r="A77" s="48"/>
      <c r="B77" s="51" t="s">
        <v>41</v>
      </c>
      <c r="C77" s="51"/>
      <c r="D77" s="51"/>
      <c r="E77" s="51"/>
      <c r="F77" s="51"/>
      <c r="G77" s="51"/>
      <c r="H77" s="48"/>
      <c r="I77" s="48"/>
      <c r="J77" s="48"/>
      <c r="K77" s="48"/>
    </row>
    <row r="78" customFormat="false" ht="12.8" hidden="false" customHeight="false" outlineLevel="0" collapsed="false">
      <c r="A78" s="48"/>
      <c r="B78" s="51" t="s">
        <v>42</v>
      </c>
      <c r="C78" s="51"/>
      <c r="D78" s="51"/>
      <c r="E78" s="51"/>
      <c r="F78" s="51"/>
      <c r="G78" s="51"/>
      <c r="H78" s="48"/>
      <c r="I78" s="48"/>
      <c r="J78" s="48"/>
      <c r="K78" s="48"/>
    </row>
    <row r="79" customFormat="false" ht="12.8" hidden="false" customHeight="false" outlineLevel="0" collapsed="false">
      <c r="A79" s="48"/>
      <c r="B79" s="34" t="s">
        <v>43</v>
      </c>
      <c r="C79" s="34"/>
      <c r="D79" s="34"/>
      <c r="E79" s="34"/>
      <c r="F79" s="34"/>
      <c r="G79" s="34"/>
      <c r="H79" s="48"/>
      <c r="I79" s="48"/>
      <c r="J79" s="48"/>
      <c r="K79" s="48"/>
    </row>
    <row r="80" customFormat="false" ht="12.8" hidden="false" customHeight="false" outlineLevel="0" collapsed="false">
      <c r="A80" s="48"/>
      <c r="B80" s="34" t="s">
        <v>44</v>
      </c>
      <c r="C80" s="34"/>
      <c r="D80" s="34"/>
      <c r="E80" s="34"/>
      <c r="F80" s="34"/>
      <c r="G80" s="34"/>
      <c r="H80" s="48"/>
      <c r="I80" s="48"/>
      <c r="J80" s="48"/>
      <c r="K80" s="48"/>
    </row>
    <row r="81" customFormat="false" ht="12.8" hidden="false" customHeight="false" outlineLevel="0" collapsed="false">
      <c r="A81" s="48"/>
      <c r="B81" s="51" t="s">
        <v>45</v>
      </c>
      <c r="C81" s="51"/>
      <c r="D81" s="51"/>
      <c r="E81" s="51"/>
      <c r="F81" s="51"/>
      <c r="G81" s="51"/>
      <c r="H81" s="48"/>
      <c r="I81" s="48"/>
      <c r="J81" s="48"/>
      <c r="K81" s="48"/>
    </row>
    <row r="82" customFormat="false" ht="12.8" hidden="false" customHeight="false" outlineLevel="0" collapsed="false">
      <c r="A82" s="48"/>
      <c r="B82" s="34" t="s">
        <v>46</v>
      </c>
      <c r="C82" s="34"/>
      <c r="D82" s="34"/>
      <c r="E82" s="34"/>
      <c r="F82" s="34"/>
      <c r="G82" s="34"/>
      <c r="H82" s="48"/>
      <c r="I82" s="48"/>
      <c r="J82" s="48"/>
      <c r="K82" s="48"/>
    </row>
    <row r="83" customFormat="false" ht="12.8" hidden="false" customHeight="false" outlineLevel="0" collapsed="false">
      <c r="A83" s="48"/>
      <c r="B83" s="34" t="s">
        <v>47</v>
      </c>
      <c r="C83" s="34"/>
      <c r="D83" s="34"/>
      <c r="E83" s="34"/>
      <c r="F83" s="34"/>
      <c r="G83" s="34"/>
      <c r="H83" s="48"/>
      <c r="I83" s="48"/>
      <c r="J83" s="48"/>
      <c r="K83" s="48"/>
    </row>
    <row r="84" customFormat="false" ht="12.8" hidden="false" customHeight="false" outlineLevel="0" collapsed="false">
      <c r="A84" s="48"/>
      <c r="B84" s="51" t="s">
        <v>48</v>
      </c>
      <c r="C84" s="51"/>
      <c r="D84" s="51"/>
      <c r="E84" s="51"/>
      <c r="F84" s="51"/>
      <c r="G84" s="51"/>
      <c r="H84" s="48"/>
      <c r="I84" s="48"/>
      <c r="J84" s="48"/>
      <c r="K84" s="48"/>
    </row>
    <row r="85" customFormat="false" ht="12.8" hidden="false" customHeight="false" outlineLevel="0" collapsed="false">
      <c r="A85" s="48"/>
      <c r="B85" s="49"/>
      <c r="C85" s="49"/>
      <c r="D85" s="49"/>
      <c r="E85" s="49"/>
      <c r="F85" s="49"/>
      <c r="G85" s="49"/>
      <c r="H85" s="48"/>
      <c r="I85" s="48"/>
      <c r="J85" s="48"/>
      <c r="K85" s="48"/>
    </row>
    <row r="86" customFormat="false" ht="12.8" hidden="false" customHeight="false" outlineLevel="0" collapsed="false">
      <c r="A86" s="48"/>
      <c r="B86" s="49"/>
      <c r="C86" s="49"/>
      <c r="D86" s="49"/>
      <c r="E86" s="49"/>
      <c r="F86" s="49"/>
      <c r="G86" s="49"/>
      <c r="H86" s="48"/>
      <c r="I86" s="48"/>
      <c r="J86" s="48"/>
      <c r="K86" s="48"/>
    </row>
    <row r="87" customFormat="false" ht="12.8" hidden="false" customHeight="false" outlineLevel="0" collapsed="false">
      <c r="A87" s="48"/>
      <c r="B87" s="49"/>
      <c r="C87" s="49"/>
      <c r="D87" s="49"/>
      <c r="E87" s="49"/>
      <c r="F87" s="49"/>
      <c r="G87" s="49"/>
      <c r="H87" s="48"/>
      <c r="I87" s="48"/>
      <c r="J87" s="48"/>
      <c r="K87" s="48"/>
    </row>
    <row r="88" customFormat="false" ht="12.8" hidden="false" customHeight="false" outlineLevel="0" collapsed="false">
      <c r="A88" s="48"/>
      <c r="B88" s="49"/>
      <c r="C88" s="49"/>
      <c r="D88" s="49"/>
      <c r="E88" s="49"/>
      <c r="F88" s="49"/>
      <c r="G88" s="49"/>
      <c r="H88" s="48"/>
      <c r="I88" s="48"/>
      <c r="J88" s="48"/>
      <c r="K88" s="48"/>
    </row>
    <row r="89" customFormat="false" ht="12.8" hidden="false" customHeight="false" outlineLevel="0" collapsed="false">
      <c r="A89" s="48"/>
      <c r="B89" s="49"/>
      <c r="C89" s="49"/>
      <c r="D89" s="49"/>
      <c r="E89" s="49"/>
      <c r="F89" s="49"/>
      <c r="G89" s="49"/>
      <c r="H89" s="48"/>
      <c r="I89" s="48"/>
      <c r="J89" s="48"/>
      <c r="K89" s="48"/>
    </row>
    <row r="90" customFormat="false" ht="12.8" hidden="false" customHeight="false" outlineLevel="0" collapsed="false">
      <c r="A90" s="48"/>
      <c r="B90" s="49"/>
      <c r="C90" s="49"/>
      <c r="D90" s="49"/>
      <c r="E90" s="49"/>
      <c r="F90" s="49"/>
      <c r="G90" s="49"/>
      <c r="H90" s="48"/>
      <c r="I90" s="48"/>
      <c r="J90" s="48"/>
      <c r="K90" s="48"/>
    </row>
    <row r="91" customFormat="false" ht="12.8" hidden="false" customHeight="false" outlineLevel="0" collapsed="false">
      <c r="A91" s="48"/>
      <c r="B91" s="49"/>
      <c r="C91" s="49"/>
      <c r="D91" s="49"/>
      <c r="E91" s="49"/>
      <c r="F91" s="49"/>
      <c r="G91" s="49"/>
      <c r="H91" s="48"/>
      <c r="I91" s="48"/>
      <c r="J91" s="48"/>
      <c r="K91" s="48"/>
    </row>
    <row r="92" customFormat="false" ht="12.8" hidden="false" customHeight="false" outlineLevel="0" collapsed="false">
      <c r="A92" s="48"/>
      <c r="B92" s="49"/>
      <c r="C92" s="49"/>
      <c r="D92" s="49"/>
      <c r="E92" s="49"/>
      <c r="F92" s="49"/>
      <c r="G92" s="49"/>
      <c r="H92" s="48"/>
      <c r="I92" s="48"/>
      <c r="J92" s="48"/>
      <c r="K92" s="48"/>
    </row>
    <row r="93" customFormat="false" ht="12.8" hidden="false" customHeight="false" outlineLevel="0" collapsed="false">
      <c r="A93" s="48"/>
      <c r="B93" s="49"/>
      <c r="C93" s="49"/>
      <c r="D93" s="49"/>
      <c r="E93" s="49"/>
      <c r="F93" s="49"/>
      <c r="G93" s="49"/>
      <c r="H93" s="48"/>
      <c r="I93" s="48"/>
      <c r="J93" s="48"/>
      <c r="K93" s="48"/>
    </row>
    <row r="94" customFormat="false" ht="12.8" hidden="false" customHeight="false" outlineLevel="0" collapsed="false">
      <c r="A94" s="48"/>
      <c r="B94" s="49"/>
      <c r="C94" s="49"/>
      <c r="D94" s="49"/>
      <c r="E94" s="49"/>
      <c r="F94" s="49"/>
      <c r="G94" s="49"/>
      <c r="H94" s="48"/>
      <c r="I94" s="48"/>
      <c r="J94" s="48"/>
      <c r="K94" s="48"/>
    </row>
    <row r="95" customFormat="false" ht="12.8" hidden="false" customHeight="false" outlineLevel="0" collapsed="false">
      <c r="A95" s="48"/>
      <c r="B95" s="49"/>
      <c r="C95" s="49"/>
      <c r="D95" s="49"/>
      <c r="E95" s="49"/>
      <c r="F95" s="49"/>
      <c r="G95" s="49"/>
      <c r="H95" s="48"/>
      <c r="I95" s="48"/>
      <c r="J95" s="48"/>
      <c r="K95" s="48"/>
    </row>
    <row r="96" customFormat="false" ht="12.8" hidden="false" customHeight="false" outlineLevel="0" collapsed="false">
      <c r="A96" s="48"/>
      <c r="B96" s="49"/>
      <c r="C96" s="49"/>
      <c r="D96" s="49"/>
      <c r="E96" s="49"/>
      <c r="F96" s="49"/>
      <c r="G96" s="49"/>
      <c r="H96" s="48"/>
      <c r="I96" s="48"/>
      <c r="J96" s="48"/>
      <c r="K96" s="48"/>
    </row>
    <row r="97" customFormat="false" ht="12.8" hidden="false" customHeight="false" outlineLevel="0" collapsed="false">
      <c r="A97" s="48"/>
      <c r="B97" s="49"/>
      <c r="C97" s="49"/>
      <c r="D97" s="49"/>
      <c r="E97" s="49"/>
      <c r="F97" s="49"/>
      <c r="G97" s="49"/>
      <c r="H97" s="48"/>
      <c r="I97" s="48"/>
      <c r="J97" s="48"/>
      <c r="K97" s="48"/>
    </row>
  </sheetData>
  <mergeCells count="119">
    <mergeCell ref="A1:E1"/>
    <mergeCell ref="D2:F3"/>
    <mergeCell ref="H2:H3"/>
    <mergeCell ref="I2:I3"/>
    <mergeCell ref="J2:J3"/>
    <mergeCell ref="K2:K3"/>
    <mergeCell ref="M2:M3"/>
    <mergeCell ref="A3:A6"/>
    <mergeCell ref="B3:C6"/>
    <mergeCell ref="H4:H5"/>
    <mergeCell ref="I4:I5"/>
    <mergeCell ref="J4:J5"/>
    <mergeCell ref="K4:K5"/>
    <mergeCell ref="A8:A9"/>
    <mergeCell ref="B8:E9"/>
    <mergeCell ref="F8:F9"/>
    <mergeCell ref="G8:G9"/>
    <mergeCell ref="H8:H9"/>
    <mergeCell ref="I8:I9"/>
    <mergeCell ref="J8:J9"/>
    <mergeCell ref="K8:K9"/>
    <mergeCell ref="B11:G11"/>
    <mergeCell ref="B13:G13"/>
    <mergeCell ref="B14:G14"/>
    <mergeCell ref="B15:G15"/>
    <mergeCell ref="B16:G16"/>
    <mergeCell ref="B17:G17"/>
    <mergeCell ref="B18:G18"/>
    <mergeCell ref="B19:G19"/>
    <mergeCell ref="A20:A21"/>
    <mergeCell ref="B20:B21"/>
    <mergeCell ref="C20:C21"/>
    <mergeCell ref="D20:D21"/>
    <mergeCell ref="E20:E21"/>
    <mergeCell ref="F20:F21"/>
    <mergeCell ref="G20:G21"/>
    <mergeCell ref="K20:K21"/>
    <mergeCell ref="B23:G23"/>
    <mergeCell ref="B24:G24"/>
    <mergeCell ref="B25:G25"/>
    <mergeCell ref="B26:G26"/>
    <mergeCell ref="B27:G27"/>
    <mergeCell ref="B28:G28"/>
    <mergeCell ref="B29:G29"/>
    <mergeCell ref="A30:A31"/>
    <mergeCell ref="B30:B31"/>
    <mergeCell ref="C30:C31"/>
    <mergeCell ref="D30:D31"/>
    <mergeCell ref="E30:E31"/>
    <mergeCell ref="F30:F31"/>
    <mergeCell ref="G30:G31"/>
    <mergeCell ref="K30:K31"/>
    <mergeCell ref="B33:G33"/>
    <mergeCell ref="B34:G34"/>
    <mergeCell ref="B35:G35"/>
    <mergeCell ref="B36:G36"/>
    <mergeCell ref="B37:G37"/>
    <mergeCell ref="B38:G38"/>
    <mergeCell ref="B39:G39"/>
    <mergeCell ref="A40:A41"/>
    <mergeCell ref="B40:B41"/>
    <mergeCell ref="C40:C41"/>
    <mergeCell ref="D40:D41"/>
    <mergeCell ref="E40:E41"/>
    <mergeCell ref="F40:F41"/>
    <mergeCell ref="G40:G41"/>
    <mergeCell ref="K40:K41"/>
    <mergeCell ref="B43:G43"/>
    <mergeCell ref="B44:G44"/>
    <mergeCell ref="B45:G45"/>
    <mergeCell ref="B46:G46"/>
    <mergeCell ref="B47:G47"/>
    <mergeCell ref="B48:G48"/>
    <mergeCell ref="B49:G49"/>
    <mergeCell ref="A50:A51"/>
    <mergeCell ref="B50:B51"/>
    <mergeCell ref="C50:C51"/>
    <mergeCell ref="D50:D51"/>
    <mergeCell ref="E50:E51"/>
    <mergeCell ref="F50:F51"/>
    <mergeCell ref="G50:G51"/>
    <mergeCell ref="K50:K51"/>
    <mergeCell ref="B53:G53"/>
    <mergeCell ref="B54:G54"/>
    <mergeCell ref="B55:G55"/>
    <mergeCell ref="B56:G56"/>
    <mergeCell ref="B57:G57"/>
    <mergeCell ref="B58:G58"/>
    <mergeCell ref="A59:A60"/>
    <mergeCell ref="B59:B60"/>
    <mergeCell ref="C59:C60"/>
    <mergeCell ref="D59:D60"/>
    <mergeCell ref="E59:E60"/>
    <mergeCell ref="F59:F60"/>
    <mergeCell ref="G59:G60"/>
    <mergeCell ref="K59:K60"/>
    <mergeCell ref="B62:G62"/>
    <mergeCell ref="B63:G63"/>
    <mergeCell ref="B64:G64"/>
    <mergeCell ref="B65:G65"/>
    <mergeCell ref="B66:B67"/>
    <mergeCell ref="C66:C67"/>
    <mergeCell ref="D66:D67"/>
    <mergeCell ref="E66:E67"/>
    <mergeCell ref="F66:F67"/>
    <mergeCell ref="G66:G67"/>
    <mergeCell ref="K66:K67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</mergeCells>
  <dataValidations count="1">
    <dataValidation allowBlank="true" errorStyle="stop" operator="equal" showDropDown="false" showErrorMessage="true" showInputMessage="true" sqref="A14 A16:A19 A62" type="list">
      <formula1>projekt</formula1>
      <formula2>0</formula2>
    </dataValidation>
  </dataValidations>
  <printOptions headings="false" gridLines="false" gridLinesSet="true" horizontalCentered="false" verticalCentered="false"/>
  <pageMargins left="0.7875" right="0.39375" top="0.459722222222222" bottom="0.165277777777778" header="0.511811023622047" footer="0.511811023622047"/>
  <pageSetup paperSize="9" scale="100" fitToWidth="1" fitToHeight="1" pageOrder="downThenOver" orientation="portrait" blackAndWhite="false" draft="false" cellComments="atEnd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15877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2014-03-14T10:57:57Z</dcterms:created>
  <dc:creator>sreckling</dc:creator>
  <dc:description/>
  <dc:language>de-DE</dc:language>
  <cp:lastModifiedBy/>
  <cp:lastPrinted>2025-10-31T21:34:21Z</cp:lastPrinted>
  <dcterms:modified xsi:type="dcterms:W3CDTF">2025-11-13T17:13:19Z</dcterms:modified>
  <cp:revision>268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